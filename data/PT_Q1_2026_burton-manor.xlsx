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vabs/Desktop/reporting/"/>
    </mc:Choice>
  </mc:AlternateContent>
  <xr:revisionPtr revIDLastSave="0" documentId="13_ncr:1_{B5E38B38-0CB9-B740-AB21-CAA8573DAD0D}" xr6:coauthVersionLast="47" xr6:coauthVersionMax="47" xr10:uidLastSave="{00000000-0000-0000-0000-000000000000}"/>
  <bookViews>
    <workbookView xWindow="1120" yWindow="660" windowWidth="29400" windowHeight="17180" activeTab="8" xr2:uid="{00000000-000D-0000-FFFF-FFFF00000000}"/>
  </bookViews>
  <sheets>
    <sheet name="Resident Flow" sheetId="1" r:id="rId1"/>
    <sheet name="Therapy Minutes" sheetId="2" r:id="rId2"/>
    <sheet name="PT Programs" sheetId="3" r:id="rId3"/>
    <sheet name="Referals" sheetId="4" r:id="rId4"/>
    <sheet name="Assesments" sheetId="7" r:id="rId5"/>
    <sheet name="Staffing" sheetId="5" r:id="rId6"/>
    <sheet name="Summary Metrics" sheetId="6" r:id="rId7"/>
    <sheet name="total beds" sheetId="8" r:id="rId8"/>
    <sheet name="intial-added-breakdow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<sst xmlns="http://schemas.openxmlformats.org/spreadsheetml/2006/main" count="65" uniqueCount="47">
  <si>
    <t>Quarter</t>
  </si>
  <si>
    <t>Start Residents</t>
  </si>
  <si>
    <t>Admissions</t>
  </si>
  <si>
    <t>Deceased/Palliative</t>
  </si>
  <si>
    <t>Moved Out</t>
  </si>
  <si>
    <t>non compliant</t>
  </si>
  <si>
    <t>goal achieved</t>
  </si>
  <si>
    <t>final(Current residents)</t>
  </si>
  <si>
    <t>Q1 2026</t>
  </si>
  <si>
    <t>1:1 Minutes</t>
  </si>
  <si>
    <t>Evaluation Minutes</t>
  </si>
  <si>
    <t>Group Sessions (count/notes)</t>
  </si>
  <si>
    <t>10 group sessions daily per floor</t>
  </si>
  <si>
    <t>Ambulation</t>
  </si>
  <si>
    <t>Weight Bearing/Pre-Gait</t>
  </si>
  <si>
    <t>AROM/PROM</t>
  </si>
  <si>
    <t>Strengthening + ROM</t>
  </si>
  <si>
    <t>Total Referrals</t>
  </si>
  <si>
    <t>Total Assessments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</si>
  <si>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</si>
  <si>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</si>
  <si>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</si>
  <si>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</si>
  <si>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</si>
  <si>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</si>
  <si>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</si>
  <si>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</si>
  <si>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</si>
  <si>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</si>
  <si>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</si>
  <si>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</si>
  <si>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PTA Hours (Total)</t>
  </si>
  <si>
    <t>PTA 1:1 Hours</t>
  </si>
  <si>
    <t>PTA Group Hours</t>
  </si>
  <si>
    <t>PT Hours</t>
  </si>
  <si>
    <t>% Residents on 1:1 PT</t>
  </si>
  <si>
    <t>Total Residents</t>
  </si>
  <si>
    <t>Discharged(Total)</t>
  </si>
  <si>
    <t>Total Beds</t>
  </si>
  <si>
    <t>January</t>
  </si>
  <si>
    <t>February</t>
  </si>
  <si>
    <t>March</t>
  </si>
  <si>
    <t>Month</t>
  </si>
  <si>
    <t>Initial</t>
  </si>
  <si>
    <t>Added</t>
  </si>
  <si>
    <t>Discharged/Deceased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</si>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</sst>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95E7D-9CC0-194F-B53C-1017A5E07B99}" name="Table2" displayName="Table2" ref="A1:E4" totalsRowShown="0" headerRowDxfId="8" headerRowBorderDxfId="6" tableBorderDxfId="7" totalsRowBorderDxfId="5">
  <tableColumns count="5">
    <tableColumn id="1" xr3:uid="{9DF1798D-92A2-A841-9B38-2DDB6232B18B}" name="Month" dataDxfId="4"/>
    <tableColumn id="2" xr3:uid="{2C1836D2-E041-DE44-9EB3-AD68AC01AB23}" name="Initial" dataDxfId="3"/>
    <tableColumn id="3" xr3:uid="{0535E7A5-58C7-B540-ABC8-DE19B96305D0}" name="Added" dataDxfId="2"/>
    <tableColumn id="4" xr3:uid="{FBB2998A-D1E2-6A42-9278-FB441FFB9ADC}" name="Discharged/Deceased" dataDxfId="1"/>
    <tableColumn id="6" xr3:uid="{A3D23BCD-4F85-7646-8B24-57C36DDFA31C}" name="Final" dataDxfId="0">
      <calculatedColumnFormula>B2+C2-(D2+#REF!)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H13" sqref="H13"/>
    </sheetView>
  </sheetViews>
  <sheetFormatPr baseColWidth="10" defaultColWidth="8.83203125" defaultRowHeight="15" x14ac:dyDescent="0.2"/>
  <cols>
    <col min="2" max="2" width="12.6640625" bestFit="1" customWidth="1"/>
    <col min="3" max="3" width="15.83203125" customWidth="1"/>
    <col min="4" max="4" width="31.6640625" customWidth="1"/>
    <col min="5" max="5" width="16.83203125" bestFit="1" customWidth="1"/>
    <col min="6" max="6" width="15" customWidth="1"/>
    <col min="7" max="7" width="13" customWidth="1"/>
    <col min="8" max="8" width="19.1640625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37</v>
      </c>
      <c r="E1" s="5"/>
      <c r="F1" s="5" t="s">
        <v>5</v>
      </c>
      <c r="G1" s="5" t="s">
        <v>6</v>
      </c>
      <c r="H1" s="5" t="s">
        <v>7</v>
      </c>
    </row>
    <row r="2" spans="1:14" x14ac:dyDescent="0.2">
      <c r="A2" s="5"/>
      <c r="B2" s="5"/>
      <c r="C2" s="5"/>
      <c r="D2" s="2" t="s">
        <v>3</v>
      </c>
      <c r="E2" s="2" t="s">
        <v>4</v>
      </c>
      <c r="F2" s="5"/>
      <c r="G2" s="5"/>
      <c r="H2" s="5"/>
    </row>
    <row r="3" spans="1:14" x14ac:dyDescent="0.2">
      <c r="A3" s="3" t="s">
        <v>8</v>
      </c>
      <c r="B3" s="3">
        <v>61</v>
      </c>
      <c r="C3" s="3">
        <v>8</v>
      </c>
      <c r="D3" s="3">
        <v>8</v>
      </c>
      <c r="E3" s="3">
        <v>2</v>
      </c>
      <c r="F3" s="3">
        <v>0</v>
      </c>
      <c r="G3" s="3">
        <v>0</v>
      </c>
      <c r="H3" s="3">
        <f>B3+8-(D3+E3)</f>
        <v>59</v>
      </c>
    </row>
    <row r="16" spans="1:14" x14ac:dyDescent="0.2">
      <c r="M16" s="1"/>
      <c r="N16" s="1"/>
    </row>
  </sheetData>
  <mergeCells count="7">
    <mergeCell ref="G1:G2"/>
    <mergeCell ref="H1:H2"/>
    <mergeCell ref="D1:E1"/>
    <mergeCell ref="A1:A2"/>
    <mergeCell ref="B1:B2"/>
    <mergeCell ref="C1:C2"/>
    <mergeCell ref="F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D2"/>
    </sheetView>
  </sheetViews>
  <sheetFormatPr baseColWidth="10" defaultColWidth="8.83203125" defaultRowHeight="15" x14ac:dyDescent="0.2"/>
  <cols>
    <col min="1" max="1" width="12.5" customWidth="1"/>
    <col min="2" max="2" width="13.5" customWidth="1"/>
    <col min="3" max="3" width="20.83203125" customWidth="1"/>
    <col min="4" max="4" width="25.5" bestFit="1" customWidth="1"/>
  </cols>
  <sheetData>
    <row r="1" spans="1:6" x14ac:dyDescent="0.2">
      <c r="A1" s="2" t="s">
        <v>0</v>
      </c>
      <c r="B1" s="2" t="s">
        <v>9</v>
      </c>
      <c r="C1" s="2" t="s">
        <v>10</v>
      </c>
      <c r="D1" s="2" t="s">
        <v>11</v>
      </c>
      <c r="E1" s="1"/>
      <c r="F1" s="1"/>
    </row>
    <row r="2" spans="1:6" x14ac:dyDescent="0.2">
      <c r="A2" s="3" t="s">
        <v>8</v>
      </c>
      <c r="B2" s="3">
        <v>29010</v>
      </c>
      <c r="C2" s="3">
        <v>3500</v>
      </c>
      <c r="D2" s="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sqref="A1:E2"/>
    </sheetView>
  </sheetViews>
  <sheetFormatPr baseColWidth="10" defaultColWidth="8.83203125" defaultRowHeight="15" x14ac:dyDescent="0.2"/>
  <cols>
    <col min="1" max="1" width="7.6640625" bestFit="1" customWidth="1"/>
    <col min="2" max="2" width="10.33203125" bestFit="1" customWidth="1"/>
    <col min="3" max="3" width="20.33203125" bestFit="1" customWidth="1"/>
    <col min="4" max="4" width="11.83203125" bestFit="1" customWidth="1"/>
    <col min="5" max="5" width="17.6640625" bestFit="1" customWidth="1"/>
  </cols>
  <sheetData>
    <row r="1" spans="1:6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1"/>
    </row>
    <row r="2" spans="1:6" x14ac:dyDescent="0.2">
      <c r="A2" s="3" t="s">
        <v>8</v>
      </c>
      <c r="B2" s="3">
        <v>26</v>
      </c>
      <c r="C2" s="3">
        <v>13</v>
      </c>
      <c r="D2" s="3">
        <v>9</v>
      </c>
      <c r="E2" s="3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I8" sqref="I8"/>
    </sheetView>
  </sheetViews>
  <sheetFormatPr baseColWidth="10" defaultColWidth="8.83203125" defaultRowHeight="15" x14ac:dyDescent="0.2"/>
  <cols>
    <col min="2" max="2" width="12.1640625" bestFit="1" customWidth="1"/>
    <col min="3" max="3" width="7.6640625" customWidth="1"/>
    <col min="4" max="4" width="8.6640625" customWidth="1"/>
    <col min="5" max="5" width="13.83203125" customWidth="1"/>
  </cols>
  <sheetData>
    <row r="1" spans="1:5" x14ac:dyDescent="0.2">
      <c r="A1" s="2" t="s">
        <v>0</v>
      </c>
      <c r="B1" s="2" t="s">
        <v>17</v>
      </c>
      <c r="C1" s="2" t="s">
        <v>19</v>
      </c>
      <c r="D1" s="2" t="s">
        <v>20</v>
      </c>
      <c r="E1" s="2" t="s">
        <v>21</v>
      </c>
    </row>
    <row r="2" spans="1:5" x14ac:dyDescent="0.2">
      <c r="A2" s="3" t="s">
        <v>8</v>
      </c>
      <c r="B2" s="3">
        <v>92</v>
      </c>
      <c r="C2" s="3">
        <v>28</v>
      </c>
      <c r="D2" s="3">
        <v>28</v>
      </c>
      <c r="E2" s="3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848D-14CD-C147-92CC-5D4FAEB45A2F}">
  <dimension ref="A1:N2"/>
  <sheetViews>
    <sheetView workbookViewId="0">
      <selection activeCell="G4" sqref="G4"/>
    </sheetView>
  </sheetViews>
  <sheetFormatPr baseColWidth="10" defaultColWidth="8.83203125" defaultRowHeight="15" x14ac:dyDescent="0.2"/>
  <cols>
    <col min="2" max="2" width="15" bestFit="1" customWidth="1"/>
    <col min="3" max="3" width="7.6640625" customWidth="1"/>
    <col min="4" max="4" width="8.6640625" customWidth="1"/>
    <col min="5" max="5" width="13.83203125" customWidth="1"/>
  </cols>
  <sheetData>
    <row r="1" spans="1:14" x14ac:dyDescent="0.2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</row>
    <row r="2" spans="1:14" x14ac:dyDescent="0.2">
      <c r="A2" s="3" t="s">
        <v>8</v>
      </c>
      <c r="B2" s="3">
        <v>70</v>
      </c>
      <c r="C2" s="3">
        <v>24</v>
      </c>
      <c r="D2" s="3">
        <v>17</v>
      </c>
      <c r="E2" s="3">
        <v>29</v>
      </c>
      <c r="F2" s="4"/>
      <c r="G2" s="4"/>
      <c r="H2" s="4"/>
      <c r="I2" s="4"/>
      <c r="J2" s="4"/>
      <c r="K2" s="4"/>
      <c r="L2" s="4"/>
      <c r="M2" s="4"/>
      <c r="N2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sqref="A1:E2"/>
    </sheetView>
  </sheetViews>
  <sheetFormatPr baseColWidth="10" defaultColWidth="8.83203125" defaultRowHeight="15" x14ac:dyDescent="0.2"/>
  <cols>
    <col min="2" max="2" width="14.1640625" bestFit="1" customWidth="1"/>
    <col min="3" max="3" width="11.83203125" bestFit="1" customWidth="1"/>
    <col min="4" max="4" width="14.1640625" bestFit="1" customWidth="1"/>
  </cols>
  <sheetData>
    <row r="1" spans="1:5" x14ac:dyDescent="0.2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x14ac:dyDescent="0.2">
      <c r="A2" s="3" t="s">
        <v>8</v>
      </c>
      <c r="B2" s="3">
        <v>54.5</v>
      </c>
      <c r="C2" s="3">
        <v>44.5</v>
      </c>
      <c r="D2" s="3">
        <v>10</v>
      </c>
      <c r="E2" s="3">
        <v>22.5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sqref="A1:C2"/>
    </sheetView>
  </sheetViews>
  <sheetFormatPr baseColWidth="10" defaultColWidth="8.83203125" defaultRowHeight="15" x14ac:dyDescent="0.2"/>
  <cols>
    <col min="1" max="1" width="11.6640625" customWidth="1"/>
    <col min="2" max="2" width="19.33203125" customWidth="1"/>
    <col min="3" max="3" width="12.5" bestFit="1" customWidth="1"/>
  </cols>
  <sheetData>
    <row r="1" spans="1:3" x14ac:dyDescent="0.2">
      <c r="A1" s="2" t="s">
        <v>0</v>
      </c>
      <c r="B1" s="2" t="s">
        <v>35</v>
      </c>
      <c r="C1" s="2" t="s">
        <v>36</v>
      </c>
    </row>
    <row r="2" spans="1:3" x14ac:dyDescent="0.2">
      <c r="A2" s="3" t="s">
        <v>8</v>
      </c>
      <c r="B2" s="3">
        <v>46.09</v>
      </c>
      <c r="C2" s="3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0FB3-46FD-354E-A7D8-DE7027A0CBF0}">
  <dimension ref="A1:B4"/>
  <sheetViews>
    <sheetView workbookViewId="0">
      <selection activeCell="A3" sqref="A3"/>
    </sheetView>
  </sheetViews>
  <sheetFormatPr baseColWidth="10" defaultRowHeight="15" x14ac:dyDescent="0.2"/>
  <sheetData>
    <row r="1" spans="1:2" x14ac:dyDescent="0.2">
      <c r="A1" t="s">
        <v>38</v>
      </c>
      <c r="B1">
        <v>128</v>
      </c>
    </row>
    <row r="2" spans="1:2" x14ac:dyDescent="0.2">
      <c r="A2" t="s">
        <v>39</v>
      </c>
      <c r="B2">
        <v>61</v>
      </c>
    </row>
    <row r="3" spans="1:2" x14ac:dyDescent="0.2">
      <c r="A3" t="s">
        <v>40</v>
      </c>
      <c r="B3">
        <v>62</v>
      </c>
    </row>
    <row r="4" spans="1:2" x14ac:dyDescent="0.2">
      <c r="A4" t="s">
        <v>41</v>
      </c>
      <c r="B4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3182-0958-E64B-8B26-B87FCD68E8E8}">
  <dimension ref="A1:E4"/>
  <sheetViews>
    <sheetView tabSelected="1" workbookViewId="0">
      <selection sqref="A1:E4"/>
    </sheetView>
  </sheetViews>
  <sheetFormatPr baseColWidth="10" defaultRowHeight="15" x14ac:dyDescent="0.2"/>
  <sheetData>
    <row r="1" spans="1:5" x14ac:dyDescent="0.2">
      <c r="A1" s="6" t="s">
        <v>42</v>
      </c>
      <c r="B1" s="7" t="s">
        <v>43</v>
      </c>
      <c r="C1" s="7" t="s">
        <v>44</v>
      </c>
      <c r="D1" s="7" t="s">
        <v>45</v>
      </c>
      <c r="E1" s="8" t="s">
        <v>46</v>
      </c>
    </row>
    <row r="2" spans="1:5" x14ac:dyDescent="0.2">
      <c r="A2" s="9" t="s">
        <v>39</v>
      </c>
      <c r="B2" s="3">
        <v>61</v>
      </c>
      <c r="C2" s="3">
        <v>3</v>
      </c>
      <c r="D2" s="3">
        <v>2</v>
      </c>
      <c r="E2" s="10">
        <v>62</v>
      </c>
    </row>
    <row r="3" spans="1:5" x14ac:dyDescent="0.2">
      <c r="A3" s="9" t="s">
        <v>40</v>
      </c>
      <c r="B3" s="3">
        <v>62</v>
      </c>
      <c r="C3" s="3">
        <v>3</v>
      </c>
      <c r="D3" s="3">
        <v>3</v>
      </c>
      <c r="E3" s="10">
        <v>62</v>
      </c>
    </row>
    <row r="4" spans="1:5" x14ac:dyDescent="0.2">
      <c r="A4" s="11" t="s">
        <v>41</v>
      </c>
      <c r="B4" s="12">
        <v>62</v>
      </c>
      <c r="C4" s="12">
        <v>2</v>
      </c>
      <c r="D4" s="12">
        <v>5</v>
      </c>
      <c r="E4" s="13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Resident Flow</vt:lpstr>
      <vt:lpstr>Therapy Minutes</vt:lpstr>
      <vt:lpstr>PT Programs</vt:lpstr>
      <vt:lpstr>Referals</vt:lpstr>
      <vt:lpstr>Assesments</vt:lpstr>
      <vt:lpstr>Staffing</vt:lpstr>
      <vt:lpstr>Summary Metrics</vt:lpstr>
      <vt:lpstr>total beds</vt:lpstr>
      <vt:lpstr>intial-added-breakdown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Dayal Singh</cp:lastModifiedBy>
  <dcterms:created xsi:type="dcterms:W3CDTF">2026-04-18T22:10:36Z</dcterms:created>
  <dcterms:modified xsi:type="dcterms:W3CDTF">2026-04-19T00:18:32Z</dcterms:modified>
</cp:coreProperties>
</file>